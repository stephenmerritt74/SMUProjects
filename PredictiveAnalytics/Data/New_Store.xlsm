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/>
  <mc:AlternateContent xmlns:mc="http://schemas.openxmlformats.org/markup-compatibility/2006">
    <mc:Choice Requires="x15">
      <x15ac:absPath xmlns:x15ac="http://schemas.microsoft.com/office/spreadsheetml/2010/11/ac" url="C:\Udacity\CapstoneProject\Data\"/>
    </mc:Choice>
  </mc:AlternateContent>
  <xr:revisionPtr revIDLastSave="0" documentId="8_{FB295BFB-E5A7-481C-9844-F5CC4497CFE3}" xr6:coauthVersionLast="38" xr6:coauthVersionMax="38" xr10:uidLastSave="{00000000-0000-0000-0000-000000000000}"/>
  <bookViews>
    <workbookView xWindow="240" yWindow="120" windowWidth="12800" windowHeight="9600" xr2:uid="{00000000-000D-0000-FFFF-FFFF00000000}"/>
  </bookViews>
  <sheets>
    <sheet name="Sheet1" sheetId="1" r:id="rId1"/>
  </sheets>
  <calcPr calcId="179021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2" i="1"/>
  <c r="H3" i="1"/>
  <c r="H4" i="1"/>
  <c r="H5" i="1"/>
  <c r="H6" i="1"/>
  <c r="H7" i="1"/>
  <c r="H8" i="1"/>
  <c r="H9" i="1"/>
  <c r="H10" i="1"/>
  <c r="H11" i="1"/>
  <c r="H12" i="1"/>
  <c r="H13" i="1"/>
  <c r="F3" i="1"/>
  <c r="F4" i="1"/>
  <c r="F5" i="1"/>
  <c r="F6" i="1"/>
  <c r="F7" i="1"/>
  <c r="F8" i="1"/>
  <c r="F9" i="1"/>
  <c r="F10" i="1"/>
  <c r="F11" i="1"/>
  <c r="F12" i="1"/>
  <c r="F13" i="1"/>
  <c r="H2" i="1"/>
  <c r="F2" i="1"/>
  <c r="D3" i="1"/>
  <c r="D4" i="1"/>
  <c r="D5" i="1"/>
  <c r="D6" i="1"/>
  <c r="D7" i="1"/>
  <c r="D8" i="1"/>
  <c r="D9" i="1"/>
  <c r="D10" i="1"/>
  <c r="D11" i="1"/>
  <c r="D12" i="1"/>
  <c r="D13" i="1"/>
  <c r="D2" i="1"/>
</calcChain>
</file>

<file path=xl/sharedStrings.xml><?xml version="1.0" encoding="utf-8"?>
<sst xmlns="http://schemas.openxmlformats.org/spreadsheetml/2006/main" count="9" uniqueCount="9">
  <si>
    <t>Period</t>
  </si>
  <si>
    <t>Sub_Period</t>
  </si>
  <si>
    <t>Cluster1_Forecast</t>
  </si>
  <si>
    <t>Cluster2_Forecast</t>
  </si>
  <si>
    <t>Cluster3_Forecast</t>
  </si>
  <si>
    <t>Cluster3_Total</t>
  </si>
  <si>
    <t>Total_All_Formats</t>
  </si>
  <si>
    <t>Cluster1_Total</t>
  </si>
  <si>
    <t>Cluster2_Total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</si>
</sst>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3"/>
  <sheetViews>
    <sheetView tabSelected="1" workbookViewId="0">
      <selection sqref="A1:B13"/>
    </sheetView>
  </sheetViews>
  <sheetFormatPr defaultRowHeight="14.5" x14ac:dyDescent="0.35"/>
  <cols>
    <col min="3" max="3" width="15.7265625" bestFit="1" customWidth="1"/>
    <col min="4" max="4" width="15.7265625" customWidth="1"/>
    <col min="5" max="5" width="15.7265625" bestFit="1" customWidth="1"/>
    <col min="6" max="6" width="15.7265625" customWidth="1"/>
    <col min="7" max="7" width="15.7265625" bestFit="1" customWidth="1"/>
    <col min="8" max="8" width="12.90625" bestFit="1" customWidth="1"/>
    <col min="9" max="9" width="16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8</v>
      </c>
      <c r="G1" t="s">
        <v>4</v>
      </c>
      <c r="H1" t="s">
        <v>5</v>
      </c>
      <c r="I1" t="s">
        <v>6</v>
      </c>
    </row>
    <row r="2" spans="1:9" x14ac:dyDescent="0.35">
      <c r="A2" s="2">
        <v>2016</v>
      </c>
      <c r="B2" s="1">
        <v>1</v>
      </c>
      <c r="C2" s="2">
        <v>256056.03307980401</v>
      </c>
      <c r="D2" s="2">
        <f>C2*3</f>
        <v>768168.099239412</v>
      </c>
      <c r="E2" s="2">
        <v>265594.84829627199</v>
      </c>
      <c r="F2" s="2">
        <f>E2*6</f>
        <v>1593569.0897776319</v>
      </c>
      <c r="G2" s="2">
        <v>225713.666167316</v>
      </c>
      <c r="H2">
        <f>G2*1</f>
        <v>225713.666167316</v>
      </c>
      <c r="I2">
        <f>SUM(D2,F2,H2)</f>
        <v>2587450.8551843599</v>
      </c>
    </row>
    <row r="3" spans="1:9" x14ac:dyDescent="0.35">
      <c r="A3" s="2">
        <v>2016</v>
      </c>
      <c r="B3" s="1">
        <v>2</v>
      </c>
      <c r="C3" s="2">
        <v>244548.92343628101</v>
      </c>
      <c r="D3" s="2">
        <f t="shared" ref="D3:D13" si="0">C3*3</f>
        <v>733646.770308843</v>
      </c>
      <c r="E3" s="2">
        <v>253264.72496910999</v>
      </c>
      <c r="F3" s="2">
        <f t="shared" ref="F3:F13" si="1">E3*6</f>
        <v>1519588.3498146599</v>
      </c>
      <c r="G3" s="2">
        <v>224117.77636521301</v>
      </c>
      <c r="H3">
        <f t="shared" ref="H3:H13" si="2">G3*1</f>
        <v>224117.77636521301</v>
      </c>
      <c r="I3">
        <f t="shared" ref="I3:I13" si="3">SUM(D3,F3,H3)</f>
        <v>2477352.8964887159</v>
      </c>
    </row>
    <row r="4" spans="1:9" x14ac:dyDescent="0.35">
      <c r="A4" s="2">
        <v>2016</v>
      </c>
      <c r="B4" s="1">
        <v>3</v>
      </c>
      <c r="C4" s="2">
        <v>293254.58739025501</v>
      </c>
      <c r="D4" s="2">
        <f t="shared" si="0"/>
        <v>879763.76217076508</v>
      </c>
      <c r="E4" s="2">
        <v>295443.52691426303</v>
      </c>
      <c r="F4" s="2">
        <f t="shared" si="1"/>
        <v>1772661.1614855782</v>
      </c>
      <c r="G4" s="2">
        <v>260760.31677543299</v>
      </c>
      <c r="H4">
        <f t="shared" si="2"/>
        <v>260760.31677543299</v>
      </c>
      <c r="I4">
        <f t="shared" si="3"/>
        <v>2913185.2404317763</v>
      </c>
    </row>
    <row r="5" spans="1:9" x14ac:dyDescent="0.35">
      <c r="A5" s="2">
        <v>2016</v>
      </c>
      <c r="B5" s="1">
        <v>4</v>
      </c>
      <c r="C5" s="2">
        <v>275841.95238617301</v>
      </c>
      <c r="D5" s="2">
        <f t="shared" si="0"/>
        <v>827525.85715851909</v>
      </c>
      <c r="E5" s="2">
        <v>285116.60868523997</v>
      </c>
      <c r="F5" s="2">
        <f t="shared" si="1"/>
        <v>1710699.65211144</v>
      </c>
      <c r="G5" s="2">
        <v>237520.10403764001</v>
      </c>
      <c r="H5">
        <f t="shared" si="2"/>
        <v>237520.10403764001</v>
      </c>
      <c r="I5">
        <f t="shared" si="3"/>
        <v>2775745.6133075994</v>
      </c>
    </row>
    <row r="6" spans="1:9" x14ac:dyDescent="0.35">
      <c r="A6" s="2">
        <v>2016</v>
      </c>
      <c r="B6" s="1">
        <v>5</v>
      </c>
      <c r="C6" s="2">
        <v>314668.28736382001</v>
      </c>
      <c r="D6" s="2">
        <f t="shared" si="0"/>
        <v>944004.86209146003</v>
      </c>
      <c r="E6" s="2">
        <v>321995.57308313297</v>
      </c>
      <c r="F6" s="2">
        <f t="shared" si="1"/>
        <v>1931973.4384987978</v>
      </c>
      <c r="G6" s="2">
        <v>274888.538492875</v>
      </c>
      <c r="H6">
        <f t="shared" si="2"/>
        <v>274888.538492875</v>
      </c>
      <c r="I6">
        <f t="shared" si="3"/>
        <v>3150866.8390831333</v>
      </c>
    </row>
    <row r="7" spans="1:9" x14ac:dyDescent="0.35">
      <c r="A7" s="2">
        <v>2016</v>
      </c>
      <c r="B7" s="1">
        <v>6</v>
      </c>
      <c r="C7" s="2">
        <v>316655.429104682</v>
      </c>
      <c r="D7" s="2">
        <f t="shared" si="0"/>
        <v>949966.28731404594</v>
      </c>
      <c r="E7" s="2">
        <v>326046.64001257002</v>
      </c>
      <c r="F7" s="2">
        <f t="shared" si="1"/>
        <v>1956279.8400754202</v>
      </c>
      <c r="G7" s="2">
        <v>282675.88021540298</v>
      </c>
      <c r="H7">
        <f t="shared" si="2"/>
        <v>282675.88021540298</v>
      </c>
      <c r="I7">
        <f t="shared" si="3"/>
        <v>3188922.0076048695</v>
      </c>
    </row>
    <row r="8" spans="1:9" x14ac:dyDescent="0.35">
      <c r="A8" s="2">
        <v>2016</v>
      </c>
      <c r="B8" s="1">
        <v>7</v>
      </c>
      <c r="C8" s="2">
        <v>318463.41106817301</v>
      </c>
      <c r="D8" s="2">
        <f t="shared" si="0"/>
        <v>955390.23320451903</v>
      </c>
      <c r="E8" s="2">
        <v>329587.12226399902</v>
      </c>
      <c r="F8" s="2">
        <f t="shared" si="1"/>
        <v>1977522.7335839942</v>
      </c>
      <c r="G8" s="2">
        <v>281832.68411455402</v>
      </c>
      <c r="H8">
        <f t="shared" si="2"/>
        <v>281832.68411455402</v>
      </c>
      <c r="I8">
        <f t="shared" si="3"/>
        <v>3214745.6509030671</v>
      </c>
    </row>
    <row r="9" spans="1:9" x14ac:dyDescent="0.35">
      <c r="A9" s="2">
        <v>2016</v>
      </c>
      <c r="B9" s="1">
        <v>8</v>
      </c>
      <c r="C9" s="2">
        <v>278092.99167845101</v>
      </c>
      <c r="D9" s="2">
        <f t="shared" si="0"/>
        <v>834278.9750353531</v>
      </c>
      <c r="E9" s="2">
        <v>297122.98908011802</v>
      </c>
      <c r="F9" s="2">
        <f t="shared" si="1"/>
        <v>1782737.9344807081</v>
      </c>
      <c r="G9" s="2">
        <v>249331.75600570301</v>
      </c>
      <c r="H9">
        <f t="shared" si="2"/>
        <v>249331.75600570301</v>
      </c>
      <c r="I9">
        <f t="shared" si="3"/>
        <v>2866348.6655217642</v>
      </c>
    </row>
    <row r="10" spans="1:9" x14ac:dyDescent="0.35">
      <c r="A10" s="2">
        <v>2016</v>
      </c>
      <c r="B10" s="1">
        <v>9</v>
      </c>
      <c r="C10" s="2">
        <v>247574.91763066</v>
      </c>
      <c r="D10" s="2">
        <f t="shared" si="0"/>
        <v>742724.75289198</v>
      </c>
      <c r="E10" s="2">
        <v>263666.456077618</v>
      </c>
      <c r="F10" s="2">
        <f t="shared" si="1"/>
        <v>1581998.7364657079</v>
      </c>
      <c r="G10" s="2">
        <v>214003.36395258899</v>
      </c>
      <c r="H10">
        <f t="shared" si="2"/>
        <v>214003.36395258899</v>
      </c>
      <c r="I10">
        <f t="shared" si="3"/>
        <v>2538726.8533102768</v>
      </c>
    </row>
    <row r="11" spans="1:9" x14ac:dyDescent="0.35">
      <c r="A11" s="2">
        <v>2016</v>
      </c>
      <c r="B11" s="1">
        <v>10</v>
      </c>
      <c r="C11" s="2">
        <v>241544.741015037</v>
      </c>
      <c r="D11" s="2">
        <f t="shared" si="0"/>
        <v>724634.22304511094</v>
      </c>
      <c r="E11" s="2">
        <v>258452.687551123</v>
      </c>
      <c r="F11" s="2">
        <f t="shared" si="1"/>
        <v>1550716.1253067381</v>
      </c>
      <c r="G11" s="2">
        <v>212797.94352647799</v>
      </c>
      <c r="H11">
        <f t="shared" si="2"/>
        <v>212797.94352647799</v>
      </c>
      <c r="I11">
        <f t="shared" si="3"/>
        <v>2488148.2918783273</v>
      </c>
    </row>
    <row r="12" spans="1:9" x14ac:dyDescent="0.35">
      <c r="A12" s="2">
        <v>2016</v>
      </c>
      <c r="B12" s="1">
        <v>11</v>
      </c>
      <c r="C12" s="2">
        <v>254424.713987055</v>
      </c>
      <c r="D12" s="2">
        <f t="shared" si="0"/>
        <v>763274.14196116501</v>
      </c>
      <c r="E12" s="2">
        <v>268672.565408603</v>
      </c>
      <c r="F12" s="2">
        <f t="shared" si="1"/>
        <v>1612035.3924516179</v>
      </c>
      <c r="G12" s="2">
        <v>219960.85505948801</v>
      </c>
      <c r="H12">
        <f t="shared" si="2"/>
        <v>219960.85505948801</v>
      </c>
      <c r="I12">
        <f t="shared" si="3"/>
        <v>2595270.3894722709</v>
      </c>
    </row>
    <row r="13" spans="1:9" x14ac:dyDescent="0.35">
      <c r="A13" s="2">
        <v>2016</v>
      </c>
      <c r="B13" s="1">
        <v>12</v>
      </c>
      <c r="C13" s="2">
        <v>257905.50694622501</v>
      </c>
      <c r="D13" s="2">
        <f t="shared" si="0"/>
        <v>773716.52083867509</v>
      </c>
      <c r="E13" s="2">
        <v>261568.456494118</v>
      </c>
      <c r="F13" s="2">
        <f t="shared" si="1"/>
        <v>1569410.7389647081</v>
      </c>
      <c r="G13" s="2">
        <v>230269.372605137</v>
      </c>
      <c r="H13">
        <f t="shared" si="2"/>
        <v>230269.372605137</v>
      </c>
      <c r="I13">
        <f t="shared" si="3"/>
        <v>2573396.6324085202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Alteryx,Inc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cp:lastModifiedBy>SteveM</cp:lastModifiedBy>
  <dcterms:created xsi:type="dcterms:W3CDTF">2018-11-09T21:16:54Z</dcterms:created>
  <dcterms:modified xsi:type="dcterms:W3CDTF">2018-11-11T13:03:13Z</dcterms:modified>
</cp:coreProperties>
</file>